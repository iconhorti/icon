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oogle Drive\01-Pankaj\199 ICON_Accounts\95 Software Design\ICON\"/>
    </mc:Choice>
  </mc:AlternateContent>
  <xr:revisionPtr revIDLastSave="0" documentId="13_ncr:1_{A69A4BF6-8ADF-473E-9212-498D82F31453}" xr6:coauthVersionLast="47" xr6:coauthVersionMax="47" xr10:uidLastSave="{00000000-0000-0000-0000-000000000000}"/>
  <bookViews>
    <workbookView xWindow="-120" yWindow="-120" windowWidth="29040" windowHeight="15720" activeTab="1" xr2:uid="{19D2049B-BC8F-4947-92E9-9E3C5F26F22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2" l="1"/>
  <c r="F12" i="2"/>
  <c r="F10" i="2"/>
  <c r="F9" i="2"/>
  <c r="F7" i="2"/>
  <c r="F8" i="2"/>
  <c r="F5" i="2"/>
  <c r="F6" i="2" s="1"/>
  <c r="F11" i="2" l="1"/>
  <c r="F13" i="2" s="1"/>
  <c r="F15" i="2" s="1"/>
  <c r="F16" i="2" s="1"/>
  <c r="F17" i="2" s="1"/>
  <c r="F18" i="2" s="1"/>
  <c r="F19" i="2" l="1"/>
  <c r="F20" i="2" s="1"/>
  <c r="F21" i="2" l="1"/>
  <c r="F22" i="2" s="1"/>
  <c r="F23" i="2" l="1"/>
  <c r="F24" i="2" l="1"/>
  <c r="F25" i="2"/>
  <c r="F26" i="2" l="1"/>
  <c r="F27" i="2" s="1"/>
  <c r="F28" i="2" s="1"/>
  <c r="F29" i="2" l="1"/>
  <c r="F30" i="2" s="1"/>
  <c r="F31" i="2" l="1"/>
  <c r="F32" i="2" s="1"/>
  <c r="F33" i="2" l="1"/>
  <c r="F34" i="2" s="1"/>
  <c r="F35" i="2" l="1"/>
  <c r="F36" i="2" s="1"/>
  <c r="F37" i="2" l="1"/>
  <c r="F38" i="2" s="1"/>
  <c r="F39" i="2" l="1"/>
  <c r="F40" i="2" s="1"/>
</calcChain>
</file>

<file path=xl/sharedStrings.xml><?xml version="1.0" encoding="utf-8"?>
<sst xmlns="http://schemas.openxmlformats.org/spreadsheetml/2006/main" count="76" uniqueCount="46">
  <si>
    <t xml:space="preserve">50 - Famremer Onbaord Peinding at Delear Level 50 - Peding At Office Level 100- Bank Processing 300- Bank Sanctioned 50 - GOC Application Pending 250 -GOC Application Done 100 - GOC Application Peindg 150 -GOC- Approvded( by Agency) 50 - GOC- Approved But Not Issued 100-GOC Isuused 20- Erection Start_peindig 50- Work Started and IN Progress 30 Work Copleted 10-Subsidy Application Penidng 20- Subsidy Application Madde 5_ Subsidy_ Visit Penindg 15 Susbidy Visit Done 2 Subsdidy Visitr Report Not Sumtted 13-Subsidy Report Submitted 3 -Subsid Meeting Peding 10-Subsidy Meeting Done and Approved 2-Subsiy Not Released 8 Subsidy Released </t>
  </si>
  <si>
    <t>Count</t>
  </si>
  <si>
    <t>Project Stage (Exact DB Value)</t>
  </si>
  <si>
    <t>Famremer Onbaord Peinding at Delear Level</t>
  </si>
  <si>
    <t>Peding At Office Level</t>
  </si>
  <si>
    <t>GOC Application Pending</t>
  </si>
  <si>
    <t>GOC- Approved But Not Issued</t>
  </si>
  <si>
    <t>Subsidy Application Penidng</t>
  </si>
  <si>
    <t>Subsidy_ Visit Penindg</t>
  </si>
  <si>
    <t>Subsid Meeting Peding</t>
  </si>
  <si>
    <t>Subsiy Not Released</t>
  </si>
  <si>
    <t>Subsidy Released</t>
  </si>
  <si>
    <t>GOC Application Approved</t>
  </si>
  <si>
    <t>Bank Submission Pending</t>
  </si>
  <si>
    <t>Dealer</t>
  </si>
  <si>
    <t>DPR PREPARED and Forwared to Bank Officer</t>
  </si>
  <si>
    <t>Sent to Office Staff For Preparing DPR</t>
  </si>
  <si>
    <t>Bank Officer</t>
  </si>
  <si>
    <t>Office Staff</t>
  </si>
  <si>
    <t>Bank Processing-Sanctioned Not Received</t>
  </si>
  <si>
    <t>GOC Application Done-Approval Pending</t>
  </si>
  <si>
    <t>Agency Officer</t>
  </si>
  <si>
    <t>Bank Sanction Received and Sent To Office Staff for GOC Application</t>
  </si>
  <si>
    <t>GOC Application Done and Sent to Agency Officer</t>
  </si>
  <si>
    <t>GOC- Approved Iussed and Sent to Project Manager</t>
  </si>
  <si>
    <t>Project Manager</t>
  </si>
  <si>
    <t>Project-Site Visit Pending</t>
  </si>
  <si>
    <t>Project-Site Completed-Design Pending</t>
  </si>
  <si>
    <t>Project-Assignement To Conractors Pending</t>
  </si>
  <si>
    <t>Project-Assignement To Conractors Done and Sent to Contractors</t>
  </si>
  <si>
    <t>Erection Started and IN Progress</t>
  </si>
  <si>
    <t>Contractor</t>
  </si>
  <si>
    <t>Erection Start_pending</t>
  </si>
  <si>
    <t>Ecrection Started and Completed and Submitted to Project Manager</t>
  </si>
  <si>
    <t>Porject-Inspection Pending</t>
  </si>
  <si>
    <t>Porject-Inspection Done</t>
  </si>
  <si>
    <t>Porject-Inspection Report Pending</t>
  </si>
  <si>
    <t>Subsidy Application Done and Sent Agency Officer</t>
  </si>
  <si>
    <t>Subsdidy Visit Done</t>
  </si>
  <si>
    <t>Subsdidy Visit Report Not Submitted</t>
  </si>
  <si>
    <t>Subsdidy Visit Report Submitted</t>
  </si>
  <si>
    <t>Subsid Meeting Done and Case Approved</t>
  </si>
  <si>
    <t>Project-Site Visit Completed</t>
  </si>
  <si>
    <t>Role</t>
  </si>
  <si>
    <t>Porject-Inspection Report Submiited and Sent of Agencey Officer</t>
  </si>
  <si>
    <t>Project-Site Completed-Design Completed and Sent to Project Manager for Rewardig Project to Contractos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</si>
</sst>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EDEDED"/>
      <name val="Segoe UI"/>
      <family val="2"/>
    </font>
    <font>
      <sz val="11"/>
      <name val="Aptos Narrow"/>
      <family val="2"/>
      <scheme val="minor"/>
    </font>
    <font>
      <b/>
      <sz val="10"/>
      <name val="Segoe UI"/>
      <family val="2"/>
    </font>
    <font>
      <sz val="9.9"/>
      <name val="Consolas"/>
      <family val="3"/>
    </font>
    <font>
      <b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3" fillId="0" borderId="0" xfId="0" applyFont="1" applyFill="1"/>
    <xf numFmtId="10" fontId="3" fillId="0" borderId="0" xfId="1" applyNumberFormat="1" applyFont="1" applyFill="1"/>
    <xf numFmtId="0" fontId="3" fillId="0" borderId="1" xfId="0" applyFont="1" applyFill="1" applyBorder="1"/>
    <xf numFmtId="10" fontId="3" fillId="0" borderId="1" xfId="1" applyNumberFormat="1" applyFont="1" applyFill="1" applyBorder="1"/>
    <xf numFmtId="10" fontId="3" fillId="0" borderId="1" xfId="0" applyNumberFormat="1" applyFont="1" applyFill="1" applyBorder="1"/>
    <xf numFmtId="10" fontId="3" fillId="0" borderId="0" xfId="0" applyNumberFormat="1" applyFont="1" applyFill="1"/>
    <xf numFmtId="9" fontId="4" fillId="0" borderId="0" xfId="1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horizontal="center"/>
    </xf>
    <xf numFmtId="0" fontId="3" fillId="0" borderId="2" xfId="0" applyFont="1" applyFill="1" applyBorder="1" applyAlignment="1">
      <alignment horizontal="center"/>
    </xf>
    <xf numFmtId="10" fontId="3" fillId="2" borderId="0" xfId="1" applyNumberFormat="1" applyFont="1" applyFill="1"/>
    <xf numFmtId="0" fontId="3" fillId="2" borderId="0" xfId="0" applyFont="1" applyFill="1"/>
    <xf numFmtId="0" fontId="4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/>
    </xf>
    <xf numFmtId="10" fontId="3" fillId="3" borderId="0" xfId="1" applyNumberFormat="1" applyFont="1" applyFill="1"/>
    <xf numFmtId="0" fontId="3" fillId="3" borderId="0" xfId="0" applyFont="1" applyFill="1"/>
    <xf numFmtId="0" fontId="4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/>
    </xf>
    <xf numFmtId="10" fontId="3" fillId="4" borderId="0" xfId="1" applyNumberFormat="1" applyFont="1" applyFill="1"/>
    <xf numFmtId="0" fontId="3" fillId="4" borderId="0" xfId="0" applyFont="1" applyFill="1"/>
    <xf numFmtId="0" fontId="4" fillId="4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/>
    </xf>
    <xf numFmtId="10" fontId="3" fillId="4" borderId="1" xfId="1" applyNumberFormat="1" applyFont="1" applyFill="1" applyBorder="1"/>
    <xf numFmtId="0" fontId="3" fillId="4" borderId="1" xfId="0" applyFont="1" applyFill="1" applyBorder="1"/>
    <xf numFmtId="10" fontId="3" fillId="5" borderId="0" xfId="1" applyNumberFormat="1" applyFont="1" applyFill="1"/>
    <xf numFmtId="0" fontId="3" fillId="5" borderId="0" xfId="0" applyFont="1" applyFill="1"/>
    <xf numFmtId="0" fontId="4" fillId="5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center"/>
    </xf>
    <xf numFmtId="10" fontId="3" fillId="6" borderId="0" xfId="1" applyNumberFormat="1" applyFont="1" applyFill="1"/>
    <xf numFmtId="0" fontId="3" fillId="6" borderId="0" xfId="0" applyFont="1" applyFill="1"/>
    <xf numFmtId="0" fontId="4" fillId="6" borderId="2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/>
    </xf>
    <xf numFmtId="10" fontId="3" fillId="7" borderId="1" xfId="1" applyNumberFormat="1" applyFont="1" applyFill="1" applyBorder="1"/>
    <xf numFmtId="0" fontId="3" fillId="7" borderId="1" xfId="0" applyFont="1" applyFill="1" applyBorder="1"/>
    <xf numFmtId="0" fontId="4" fillId="7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center"/>
    </xf>
    <xf numFmtId="10" fontId="3" fillId="7" borderId="0" xfId="1" applyNumberFormat="1" applyFont="1" applyFill="1"/>
    <xf numFmtId="0" fontId="3" fillId="7" borderId="0" xfId="0" applyFont="1" applyFill="1"/>
    <xf numFmtId="0" fontId="4" fillId="8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86296-B81E-4AD8-BC18-C41B942F3AC7}">
  <dimension ref="A1"/>
  <sheetViews>
    <sheetView workbookViewId="0"/>
  </sheetViews>
  <sheetFormatPr defaultRowHeight="15" x14ac:dyDescent="0.25"/>
  <sheetData>
    <row r="1" spans="1:1" ht="16.5" x14ac:dyDescent="0.3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C4882-6607-4F59-8C48-25AFED1A8962}">
  <dimension ref="A3:H42"/>
  <sheetViews>
    <sheetView tabSelected="1" zoomScale="85" zoomScaleNormal="85" workbookViewId="0">
      <selection activeCell="F12" sqref="F12"/>
    </sheetView>
  </sheetViews>
  <sheetFormatPr defaultRowHeight="15" x14ac:dyDescent="0.25"/>
  <cols>
    <col min="1" max="6" width="9.140625" style="2"/>
    <col min="7" max="7" width="73.85546875" style="2" customWidth="1"/>
    <col min="8" max="8" width="15.42578125" style="12" bestFit="1" customWidth="1"/>
    <col min="9" max="16384" width="9.140625" style="2"/>
  </cols>
  <sheetData>
    <row r="3" spans="1:8" x14ac:dyDescent="0.25">
      <c r="C3" s="2">
        <v>500</v>
      </c>
    </row>
    <row r="4" spans="1:8" x14ac:dyDescent="0.25">
      <c r="F4" s="48" t="s">
        <v>1</v>
      </c>
      <c r="G4" s="48" t="s">
        <v>2</v>
      </c>
      <c r="H4" s="49" t="s">
        <v>43</v>
      </c>
    </row>
    <row r="5" spans="1:8" x14ac:dyDescent="0.25">
      <c r="C5" s="3">
        <v>0.1</v>
      </c>
      <c r="D5" s="14"/>
      <c r="E5" s="15"/>
      <c r="F5" s="16">
        <f>$C$3*C5</f>
        <v>50</v>
      </c>
      <c r="G5" s="17" t="s">
        <v>3</v>
      </c>
      <c r="H5" s="18" t="s">
        <v>14</v>
      </c>
    </row>
    <row r="6" spans="1:8" x14ac:dyDescent="0.25">
      <c r="A6" s="4"/>
      <c r="B6" s="4"/>
      <c r="C6" s="5">
        <v>0.9</v>
      </c>
      <c r="D6" s="41"/>
      <c r="E6" s="42"/>
      <c r="F6" s="43">
        <f>C3-F5</f>
        <v>450</v>
      </c>
      <c r="G6" s="44" t="s">
        <v>16</v>
      </c>
      <c r="H6" s="45" t="s">
        <v>18</v>
      </c>
    </row>
    <row r="7" spans="1:8" x14ac:dyDescent="0.25">
      <c r="C7" s="3">
        <v>0.1</v>
      </c>
      <c r="D7" s="19"/>
      <c r="E7" s="20"/>
      <c r="F7" s="21">
        <f>ROUND(F6*0.1,0)</f>
        <v>45</v>
      </c>
      <c r="G7" s="22" t="s">
        <v>4</v>
      </c>
      <c r="H7" s="23" t="s">
        <v>18</v>
      </c>
    </row>
    <row r="8" spans="1:8" x14ac:dyDescent="0.25">
      <c r="A8" s="4"/>
      <c r="B8" s="6"/>
      <c r="C8" s="5"/>
      <c r="D8" s="41"/>
      <c r="E8" s="42"/>
      <c r="F8" s="43">
        <f>F6-F7</f>
        <v>405</v>
      </c>
      <c r="G8" s="44" t="s">
        <v>15</v>
      </c>
      <c r="H8" s="45" t="s">
        <v>17</v>
      </c>
    </row>
    <row r="9" spans="1:8" x14ac:dyDescent="0.25">
      <c r="B9" s="7"/>
      <c r="C9" s="3"/>
      <c r="D9" s="24"/>
      <c r="E9" s="25"/>
      <c r="F9" s="26">
        <f>ROUND(F8*0.25,0)</f>
        <v>101</v>
      </c>
      <c r="G9" s="27" t="s">
        <v>13</v>
      </c>
      <c r="H9" s="28" t="s">
        <v>17</v>
      </c>
    </row>
    <row r="10" spans="1:8" x14ac:dyDescent="0.25">
      <c r="C10" s="3"/>
      <c r="D10" s="24"/>
      <c r="E10" s="25"/>
      <c r="F10" s="26">
        <f>ROUND(F9*0.3,0)</f>
        <v>30</v>
      </c>
      <c r="G10" s="27" t="s">
        <v>19</v>
      </c>
      <c r="H10" s="28" t="s">
        <v>17</v>
      </c>
    </row>
    <row r="11" spans="1:8" x14ac:dyDescent="0.25">
      <c r="A11" s="4"/>
      <c r="B11" s="4"/>
      <c r="C11" s="5"/>
      <c r="D11" s="29"/>
      <c r="E11" s="30"/>
      <c r="F11" s="26">
        <f>F8-F9-F10</f>
        <v>274</v>
      </c>
      <c r="G11" s="27" t="s">
        <v>22</v>
      </c>
      <c r="H11" s="28" t="s">
        <v>18</v>
      </c>
    </row>
    <row r="12" spans="1:8" x14ac:dyDescent="0.25">
      <c r="C12" s="3"/>
      <c r="D12" s="31"/>
      <c r="E12" s="32"/>
      <c r="F12" s="33">
        <f>ROUND(F11*0.2,0)</f>
        <v>55</v>
      </c>
      <c r="G12" s="34" t="s">
        <v>5</v>
      </c>
      <c r="H12" s="35" t="s">
        <v>21</v>
      </c>
    </row>
    <row r="13" spans="1:8" x14ac:dyDescent="0.25">
      <c r="C13" s="3"/>
      <c r="D13" s="46"/>
      <c r="E13" s="47"/>
      <c r="F13" s="43">
        <f>F11-F12</f>
        <v>219</v>
      </c>
      <c r="G13" s="44" t="s">
        <v>23</v>
      </c>
      <c r="H13" s="45" t="s">
        <v>21</v>
      </c>
    </row>
    <row r="14" spans="1:8" x14ac:dyDescent="0.25">
      <c r="C14" s="3"/>
      <c r="D14" s="36"/>
      <c r="E14" s="37"/>
      <c r="F14" s="38">
        <f>ROUND(F13*0.25,0)</f>
        <v>55</v>
      </c>
      <c r="G14" s="39" t="s">
        <v>20</v>
      </c>
      <c r="H14" s="40" t="s">
        <v>21</v>
      </c>
    </row>
    <row r="15" spans="1:8" x14ac:dyDescent="0.25">
      <c r="C15" s="3"/>
      <c r="D15" s="46"/>
      <c r="E15" s="47"/>
      <c r="F15" s="43">
        <f>F13-F14</f>
        <v>164</v>
      </c>
      <c r="G15" s="44" t="s">
        <v>12</v>
      </c>
      <c r="H15" s="45" t="s">
        <v>21</v>
      </c>
    </row>
    <row r="16" spans="1:8" x14ac:dyDescent="0.25">
      <c r="C16" s="3"/>
      <c r="D16" s="3"/>
      <c r="F16" s="10">
        <f>ROUND(F15*0.2,0)</f>
        <v>33</v>
      </c>
      <c r="G16" s="11" t="s">
        <v>6</v>
      </c>
      <c r="H16" s="13" t="s">
        <v>21</v>
      </c>
    </row>
    <row r="17" spans="3:8" x14ac:dyDescent="0.25">
      <c r="C17" s="3"/>
      <c r="D17" s="46"/>
      <c r="E17" s="47"/>
      <c r="F17" s="43">
        <f>F15-F16</f>
        <v>131</v>
      </c>
      <c r="G17" s="44" t="s">
        <v>24</v>
      </c>
      <c r="H17" s="45" t="s">
        <v>25</v>
      </c>
    </row>
    <row r="18" spans="3:8" x14ac:dyDescent="0.25">
      <c r="C18" s="3"/>
      <c r="D18" s="3"/>
      <c r="F18" s="10">
        <f>ROUND(F17*0.25,0)</f>
        <v>33</v>
      </c>
      <c r="G18" s="11" t="s">
        <v>26</v>
      </c>
      <c r="H18" s="13" t="s">
        <v>25</v>
      </c>
    </row>
    <row r="19" spans="3:8" x14ac:dyDescent="0.25">
      <c r="C19" s="3"/>
      <c r="D19" s="46"/>
      <c r="E19" s="47"/>
      <c r="F19" s="43">
        <f>F17-F18</f>
        <v>98</v>
      </c>
      <c r="G19" s="44" t="s">
        <v>42</v>
      </c>
      <c r="H19" s="45" t="s">
        <v>25</v>
      </c>
    </row>
    <row r="20" spans="3:8" x14ac:dyDescent="0.25">
      <c r="C20" s="3"/>
      <c r="D20" s="3"/>
      <c r="F20" s="10">
        <f>ROUND(F19*0.2,0)</f>
        <v>20</v>
      </c>
      <c r="G20" s="11" t="s">
        <v>27</v>
      </c>
      <c r="H20" s="13" t="s">
        <v>25</v>
      </c>
    </row>
    <row r="21" spans="3:8" ht="25.5" x14ac:dyDescent="0.25">
      <c r="C21" s="3"/>
      <c r="D21" s="46"/>
      <c r="E21" s="47"/>
      <c r="F21" s="43">
        <f>F19-F20</f>
        <v>78</v>
      </c>
      <c r="G21" s="44" t="s">
        <v>45</v>
      </c>
      <c r="H21" s="45" t="s">
        <v>25</v>
      </c>
    </row>
    <row r="22" spans="3:8" x14ac:dyDescent="0.25">
      <c r="C22" s="3"/>
      <c r="D22" s="3"/>
      <c r="F22" s="10">
        <f>ROUND(F21*0.15,0)</f>
        <v>12</v>
      </c>
      <c r="G22" s="11" t="s">
        <v>28</v>
      </c>
      <c r="H22" s="13" t="s">
        <v>25</v>
      </c>
    </row>
    <row r="23" spans="3:8" x14ac:dyDescent="0.25">
      <c r="C23" s="3"/>
      <c r="D23" s="46"/>
      <c r="E23" s="47"/>
      <c r="F23" s="43">
        <f>F21-F22</f>
        <v>66</v>
      </c>
      <c r="G23" s="44" t="s">
        <v>29</v>
      </c>
      <c r="H23" s="45" t="s">
        <v>31</v>
      </c>
    </row>
    <row r="24" spans="3:8" x14ac:dyDescent="0.25">
      <c r="C24" s="3"/>
      <c r="D24" s="3"/>
      <c r="F24" s="10">
        <f>ROUND(F23*0.33,0)</f>
        <v>22</v>
      </c>
      <c r="G24" s="11" t="s">
        <v>32</v>
      </c>
      <c r="H24" s="13" t="s">
        <v>31</v>
      </c>
    </row>
    <row r="25" spans="3:8" x14ac:dyDescent="0.25">
      <c r="C25" s="3"/>
      <c r="D25" s="3"/>
      <c r="F25" s="10">
        <f>ROUND(F23*0.25,0)</f>
        <v>17</v>
      </c>
      <c r="G25" s="11" t="s">
        <v>30</v>
      </c>
      <c r="H25" s="13" t="s">
        <v>31</v>
      </c>
    </row>
    <row r="26" spans="3:8" x14ac:dyDescent="0.25">
      <c r="C26" s="3"/>
      <c r="D26" s="46"/>
      <c r="E26" s="47"/>
      <c r="F26" s="43">
        <f>F23-F25-F24</f>
        <v>27</v>
      </c>
      <c r="G26" s="44" t="s">
        <v>33</v>
      </c>
      <c r="H26" s="45" t="s">
        <v>31</v>
      </c>
    </row>
    <row r="27" spans="3:8" x14ac:dyDescent="0.25">
      <c r="C27" s="3"/>
      <c r="D27" s="3"/>
      <c r="F27" s="10">
        <f>ROUND(F26*0.2,0)</f>
        <v>5</v>
      </c>
      <c r="G27" s="11" t="s">
        <v>34</v>
      </c>
      <c r="H27" s="13" t="s">
        <v>25</v>
      </c>
    </row>
    <row r="28" spans="3:8" x14ac:dyDescent="0.25">
      <c r="C28" s="3"/>
      <c r="D28" s="46"/>
      <c r="E28" s="47"/>
      <c r="F28" s="43">
        <f>F26-F27</f>
        <v>22</v>
      </c>
      <c r="G28" s="44" t="s">
        <v>35</v>
      </c>
      <c r="H28" s="45" t="s">
        <v>25</v>
      </c>
    </row>
    <row r="29" spans="3:8" x14ac:dyDescent="0.25">
      <c r="C29" s="3"/>
      <c r="D29" s="3"/>
      <c r="F29" s="10">
        <f>ROUND(F28*0.2,0)</f>
        <v>4</v>
      </c>
      <c r="G29" s="11" t="s">
        <v>36</v>
      </c>
      <c r="H29" s="13" t="s">
        <v>25</v>
      </c>
    </row>
    <row r="30" spans="3:8" x14ac:dyDescent="0.25">
      <c r="C30" s="3"/>
      <c r="D30" s="46"/>
      <c r="E30" s="47"/>
      <c r="F30" s="43">
        <f>F28-F29</f>
        <v>18</v>
      </c>
      <c r="G30" s="44" t="s">
        <v>44</v>
      </c>
      <c r="H30" s="45" t="s">
        <v>25</v>
      </c>
    </row>
    <row r="31" spans="3:8" x14ac:dyDescent="0.25">
      <c r="C31" s="3"/>
      <c r="D31" s="3"/>
      <c r="F31" s="10">
        <f>ROUND(F30*0.18,0)</f>
        <v>3</v>
      </c>
      <c r="G31" s="11" t="s">
        <v>7</v>
      </c>
      <c r="H31" s="13" t="s">
        <v>21</v>
      </c>
    </row>
    <row r="32" spans="3:8" x14ac:dyDescent="0.25">
      <c r="C32" s="3"/>
      <c r="D32" s="46"/>
      <c r="E32" s="47"/>
      <c r="F32" s="43">
        <f>F30-F31</f>
        <v>15</v>
      </c>
      <c r="G32" s="44" t="s">
        <v>37</v>
      </c>
      <c r="H32" s="45" t="s">
        <v>21</v>
      </c>
    </row>
    <row r="33" spans="3:8" x14ac:dyDescent="0.25">
      <c r="C33" s="3"/>
      <c r="D33" s="3"/>
      <c r="F33" s="10">
        <f>ROUND(F32*0.2,0)</f>
        <v>3</v>
      </c>
      <c r="G33" s="11" t="s">
        <v>8</v>
      </c>
      <c r="H33" s="13" t="s">
        <v>21</v>
      </c>
    </row>
    <row r="34" spans="3:8" x14ac:dyDescent="0.25">
      <c r="C34" s="3"/>
      <c r="D34" s="46"/>
      <c r="E34" s="47"/>
      <c r="F34" s="43">
        <f>F32-F33</f>
        <v>12</v>
      </c>
      <c r="G34" s="44" t="s">
        <v>38</v>
      </c>
      <c r="H34" s="45" t="s">
        <v>21</v>
      </c>
    </row>
    <row r="35" spans="3:8" x14ac:dyDescent="0.25">
      <c r="C35" s="3"/>
      <c r="D35" s="3"/>
      <c r="F35" s="10">
        <f>ROUND(F34*0.4,0)</f>
        <v>5</v>
      </c>
      <c r="G35" s="11" t="s">
        <v>39</v>
      </c>
      <c r="H35" s="13" t="s">
        <v>21</v>
      </c>
    </row>
    <row r="36" spans="3:8" x14ac:dyDescent="0.25">
      <c r="C36" s="3"/>
      <c r="D36" s="46"/>
      <c r="E36" s="47"/>
      <c r="F36" s="43">
        <f>F34-F35</f>
        <v>7</v>
      </c>
      <c r="G36" s="44" t="s">
        <v>40</v>
      </c>
      <c r="H36" s="45" t="s">
        <v>21</v>
      </c>
    </row>
    <row r="37" spans="3:8" x14ac:dyDescent="0.25">
      <c r="C37" s="3"/>
      <c r="D37" s="3"/>
      <c r="F37" s="10">
        <f>ROUND(F36*0.25,0)</f>
        <v>2</v>
      </c>
      <c r="G37" s="11" t="s">
        <v>9</v>
      </c>
      <c r="H37" s="13" t="s">
        <v>21</v>
      </c>
    </row>
    <row r="38" spans="3:8" x14ac:dyDescent="0.25">
      <c r="C38" s="3"/>
      <c r="D38" s="46"/>
      <c r="E38" s="47"/>
      <c r="F38" s="43">
        <f>F36-F37</f>
        <v>5</v>
      </c>
      <c r="G38" s="44" t="s">
        <v>41</v>
      </c>
      <c r="H38" s="45" t="s">
        <v>21</v>
      </c>
    </row>
    <row r="39" spans="3:8" x14ac:dyDescent="0.25">
      <c r="C39" s="3"/>
      <c r="D39" s="3"/>
      <c r="F39" s="10">
        <f>ROUND(F38*0.2,0)</f>
        <v>1</v>
      </c>
      <c r="G39" s="11" t="s">
        <v>10</v>
      </c>
      <c r="H39" s="13" t="s">
        <v>21</v>
      </c>
    </row>
    <row r="40" spans="3:8" x14ac:dyDescent="0.25">
      <c r="C40" s="3"/>
      <c r="D40" s="46"/>
      <c r="E40" s="47"/>
      <c r="F40" s="43">
        <f>F38-F39</f>
        <v>4</v>
      </c>
      <c r="G40" s="44" t="s">
        <v>11</v>
      </c>
      <c r="H40" s="45" t="s">
        <v>21</v>
      </c>
    </row>
    <row r="42" spans="3:8" x14ac:dyDescent="0.25">
      <c r="C42" s="8"/>
      <c r="D42" s="8"/>
      <c r="F4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 Pankaj Rai</dc:creator>
  <cp:lastModifiedBy>CA Pankaj Rai</cp:lastModifiedBy>
  <dcterms:created xsi:type="dcterms:W3CDTF">2026-04-16T16:08:24Z</dcterms:created>
  <dcterms:modified xsi:type="dcterms:W3CDTF">2026-04-16T18:15:13Z</dcterms:modified>
</cp:coreProperties>
</file>